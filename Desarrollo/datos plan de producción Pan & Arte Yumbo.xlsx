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Mi unidad\universidad\3semestre\Estadistica\proyecto estadistica\"/>
    </mc:Choice>
  </mc:AlternateContent>
  <xr:revisionPtr revIDLastSave="0" documentId="13_ncr:1_{A3607889-2117-4398-AB20-98BB20583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 de trabaj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PjTMTJr1fcLOtWf3O/MfrvWYfe2uV51ni7D+M4ajkc="/>
    </ext>
  </extLst>
</workbook>
</file>

<file path=xl/calcChain.xml><?xml version="1.0" encoding="utf-8"?>
<calcChain xmlns="http://schemas.openxmlformats.org/spreadsheetml/2006/main">
  <c r="B18" i="1" l="1"/>
  <c r="C4" i="1" l="1"/>
  <c r="H13" i="1" s="1"/>
  <c r="G82" i="1"/>
  <c r="L4" i="1" s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B24" i="1"/>
  <c r="H23" i="1" l="1"/>
  <c r="H20" i="1"/>
  <c r="H22" i="1"/>
  <c r="H21" i="1"/>
  <c r="H19" i="1"/>
  <c r="H17" i="1"/>
  <c r="H16" i="1"/>
  <c r="H15" i="1"/>
  <c r="H14" i="1"/>
  <c r="H82" i="1" l="1"/>
  <c r="L5" i="1" s="1"/>
</calcChain>
</file>

<file path=xl/sharedStrings.xml><?xml version="1.0" encoding="utf-8"?>
<sst xmlns="http://schemas.openxmlformats.org/spreadsheetml/2006/main" count="62" uniqueCount="55">
  <si>
    <t>Código:</t>
  </si>
  <si>
    <t>SII_DYD_01</t>
  </si>
  <si>
    <t>Versión:</t>
  </si>
  <si>
    <t>Avance real</t>
  </si>
  <si>
    <t>Fecha planeada de finalización</t>
  </si>
  <si>
    <t>Avance previsto</t>
  </si>
  <si>
    <t>Excelente</t>
  </si>
  <si>
    <t>Avance real igual o mayor al previsto</t>
  </si>
  <si>
    <t>Atrasado</t>
  </si>
  <si>
    <t>Critico</t>
  </si>
  <si>
    <t>Avance real con retraso mayor a</t>
  </si>
  <si>
    <t>Plan de trabajo</t>
  </si>
  <si>
    <t>#</t>
  </si>
  <si>
    <t>Etapa</t>
  </si>
  <si>
    <t>Actividad</t>
  </si>
  <si>
    <t>Responsable</t>
  </si>
  <si>
    <t>Fecha inicio programada</t>
  </si>
  <si>
    <t>Fecha fin programada</t>
  </si>
  <si>
    <t>Avance real (%)</t>
  </si>
  <si>
    <t>Avance previsto (%)</t>
  </si>
  <si>
    <t>Fecha inicio real</t>
  </si>
  <si>
    <t>Fecha fin real</t>
  </si>
  <si>
    <t>Estado</t>
  </si>
  <si>
    <t>Observaciones / Notas / Avances</t>
  </si>
  <si>
    <t>Actividad 1</t>
  </si>
  <si>
    <t>Actividad 2</t>
  </si>
  <si>
    <t>Actividad 3</t>
  </si>
  <si>
    <t>Actividad 4</t>
  </si>
  <si>
    <t>Actividad 5</t>
  </si>
  <si>
    <t>Fecha de producción</t>
  </si>
  <si>
    <t>Producción</t>
  </si>
  <si>
    <t>Materia Prima</t>
  </si>
  <si>
    <t>Insumo1</t>
  </si>
  <si>
    <t>Insumo2</t>
  </si>
  <si>
    <t>Insumo3</t>
  </si>
  <si>
    <t>Insumo4</t>
  </si>
  <si>
    <t>Insumo5</t>
  </si>
  <si>
    <t>pepito perez</t>
  </si>
  <si>
    <t>en proceso</t>
  </si>
  <si>
    <t>dosificasion de insunos</t>
  </si>
  <si>
    <t>galinzes galindez</t>
  </si>
  <si>
    <t>retrasado</t>
  </si>
  <si>
    <t>mojado de Pan</t>
  </si>
  <si>
    <t>alejandro sanchez</t>
  </si>
  <si>
    <t>moldeo del Pan</t>
  </si>
  <si>
    <t>ancisar cevallos</t>
  </si>
  <si>
    <t>leudado del Pan</t>
  </si>
  <si>
    <t xml:space="preserve">ana Critina </t>
  </si>
  <si>
    <t>empaquetado y distribución</t>
  </si>
  <si>
    <t>harina de trigo</t>
  </si>
  <si>
    <t>matequilla</t>
  </si>
  <si>
    <t>sal</t>
  </si>
  <si>
    <t>levadura</t>
  </si>
  <si>
    <t>agua</t>
  </si>
  <si>
    <t>a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</si>
</sst>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6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0"/>
      <name val="Calibri"/>
    </font>
    <font>
      <b/>
      <sz val="11"/>
      <color theme="1"/>
      <name val="Calibri"/>
    </font>
    <font>
      <sz val="10"/>
      <color theme="1"/>
      <name val="Calibri"/>
    </font>
    <font>
      <sz val="9"/>
      <color theme="1"/>
      <name val="Calibri"/>
    </font>
    <font>
      <sz val="11"/>
      <color theme="1"/>
      <name val="Calibri"/>
      <family val="2"/>
    </font>
    <font>
      <b/>
      <sz val="16"/>
      <color theme="1"/>
      <name val="Arial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7B7B7B"/>
        <bgColor rgb="FF7B7B7B"/>
      </patternFill>
    </fill>
    <fill>
      <patternFill patternType="solid">
        <fgColor rgb="FF8EAADB"/>
        <bgColor rgb="FF8EAADB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vertical="center" wrapText="1"/>
    </xf>
    <xf numFmtId="9" fontId="1" fillId="0" borderId="4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9" fontId="1" fillId="2" borderId="4" xfId="0" applyNumberFormat="1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9" fontId="1" fillId="0" borderId="4" xfId="0" applyNumberFormat="1" applyFont="1" applyBorder="1" applyAlignment="1">
      <alignment horizontal="left" vertical="center" wrapText="1"/>
    </xf>
    <xf numFmtId="0" fontId="1" fillId="6" borderId="4" xfId="0" applyFont="1" applyFill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9" fontId="1" fillId="0" borderId="11" xfId="0" applyNumberFormat="1" applyFont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164" fontId="9" fillId="0" borderId="4" xfId="0" applyNumberFormat="1" applyFont="1" applyBorder="1" applyAlignment="1">
      <alignment vertical="center" wrapText="1"/>
    </xf>
    <xf numFmtId="9" fontId="9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9" fontId="9" fillId="0" borderId="6" xfId="0" applyNumberFormat="1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1" xfId="0" applyFont="1" applyBorder="1"/>
    <xf numFmtId="0" fontId="12" fillId="0" borderId="14" xfId="0" applyFont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4" fillId="3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1" fillId="0" borderId="10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9" fontId="9" fillId="0" borderId="13" xfId="0" applyNumberFormat="1" applyFont="1" applyBorder="1" applyAlignment="1">
      <alignment horizontal="center" vertical="center" wrapText="1"/>
    </xf>
    <xf numFmtId="9" fontId="9" fillId="0" borderId="12" xfId="0" applyNumberFormat="1" applyFont="1" applyBorder="1" applyAlignment="1">
      <alignment horizontal="center" vertical="center" wrapText="1"/>
    </xf>
    <xf numFmtId="9" fontId="9" fillId="0" borderId="11" xfId="0" applyNumberFormat="1" applyFont="1" applyBorder="1" applyAlignment="1">
      <alignment horizontal="center" vertical="center" wrapText="1"/>
    </xf>
    <xf numFmtId="9" fontId="9" fillId="9" borderId="4" xfId="0" applyNumberFormat="1" applyFont="1" applyFill="1" applyBorder="1" applyAlignment="1">
      <alignment vertical="center" wrapText="1"/>
    </xf>
    <xf numFmtId="9" fontId="13" fillId="0" borderId="4" xfId="0" applyNumberFormat="1" applyFont="1" applyBorder="1" applyAlignment="1">
      <alignment vertical="center" wrapText="1"/>
    </xf>
    <xf numFmtId="9" fontId="9" fillId="10" borderId="4" xfId="0" applyNumberFormat="1" applyFont="1" applyFill="1" applyBorder="1" applyAlignment="1">
      <alignment vertical="center" wrapText="1"/>
    </xf>
    <xf numFmtId="9" fontId="9" fillId="11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9</xdr:col>
      <xdr:colOff>714375</xdr:colOff>
      <xdr:row>2</xdr:row>
      <xdr:rowOff>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2B9E3B3-C19B-5E49-7DA2-89CF6BE64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0"/>
          <a:ext cx="10153650" cy="1057275"/>
        </a:xfrm>
        <a:prstGeom prst="rect">
          <a:avLst/>
        </a:prstGeom>
      </xdr:spPr>
    </xdr:pic>
    <xdr:clientData/>
  </xdr:twoCellAnchor>
  <xdr:twoCellAnchor>
    <xdr:from>
      <xdr:col>1</xdr:col>
      <xdr:colOff>1257299</xdr:colOff>
      <xdr:row>0</xdr:row>
      <xdr:rowOff>180975</xdr:rowOff>
    </xdr:from>
    <xdr:to>
      <xdr:col>6</xdr:col>
      <xdr:colOff>714375</xdr:colOff>
      <xdr:row>2</xdr:row>
      <xdr:rowOff>38100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FB54EAC-87A2-8E1D-AC0E-60E6D06108BA}"/>
            </a:ext>
          </a:extLst>
        </xdr:cNvPr>
        <xdr:cNvSpPr txBox="1"/>
      </xdr:nvSpPr>
      <xdr:spPr>
        <a:xfrm>
          <a:off x="1447799" y="180975"/>
          <a:ext cx="6524626" cy="90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2400">
              <a:solidFill>
                <a:schemeClr val="accent5">
                  <a:lumMod val="20000"/>
                  <a:lumOff val="80000"/>
                </a:schemeClr>
              </a:solidFill>
              <a:latin typeface="Constantia" panose="02030602050306030303" pitchFamily="18" charset="0"/>
            </a:rPr>
            <a:t>Plan De Trabajo </a:t>
          </a:r>
          <a:r>
            <a:rPr lang="es-CO" sz="4000">
              <a:solidFill>
                <a:schemeClr val="accent5">
                  <a:lumMod val="20000"/>
                  <a:lumOff val="80000"/>
                </a:schemeClr>
              </a:solidFill>
              <a:latin typeface="Kunstler Script" panose="030304020206070D0D06" pitchFamily="66" charset="0"/>
            </a:rPr>
            <a:t>Pan &amp; Arte Yumbo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pane xSplit="1" topLeftCell="B1" activePane="topRight" state="frozen"/>
      <selection pane="topRight" activeCell="O18" sqref="O18"/>
    </sheetView>
  </sheetViews>
  <sheetFormatPr baseColWidth="10" defaultColWidth="14.42578125" defaultRowHeight="15" customHeight="1" outlineLevelRow="1" x14ac:dyDescent="0.25"/>
  <cols>
    <col min="1" max="1" width="2.85546875" customWidth="1"/>
    <col min="2" max="3" width="30.7109375" customWidth="1"/>
    <col min="4" max="4" width="21.5703125" customWidth="1"/>
    <col min="5" max="5" width="11.5703125" customWidth="1"/>
    <col min="6" max="6" width="12.42578125" customWidth="1"/>
    <col min="7" max="7" width="11.28515625" customWidth="1"/>
    <col min="8" max="9" width="11.7109375" customWidth="1"/>
    <col min="10" max="10" width="10.85546875" customWidth="1"/>
    <col min="11" max="11" width="11" customWidth="1"/>
    <col min="12" max="12" width="20" customWidth="1"/>
    <col min="13" max="13" width="3.140625" customWidth="1"/>
    <col min="14" max="14" width="9.85546875" customWidth="1"/>
    <col min="15" max="15" width="17.5703125" customWidth="1"/>
    <col min="16" max="16" width="20.7109375" customWidth="1"/>
    <col min="17" max="26" width="10.7109375" customWidth="1"/>
  </cols>
  <sheetData>
    <row r="1" spans="1:26" ht="39" customHeight="1" x14ac:dyDescent="0.25">
      <c r="A1" s="44"/>
      <c r="B1" s="45"/>
      <c r="C1" s="51"/>
      <c r="D1" s="52"/>
      <c r="E1" s="52"/>
      <c r="F1" s="52"/>
      <c r="G1" s="52"/>
      <c r="H1" s="52"/>
      <c r="I1" s="52"/>
      <c r="J1" s="53"/>
      <c r="K1" s="1" t="s">
        <v>0</v>
      </c>
      <c r="L1" s="2" t="s">
        <v>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3.5" customHeight="1" x14ac:dyDescent="0.25">
      <c r="A2" s="46"/>
      <c r="B2" s="47"/>
      <c r="C2" s="54"/>
      <c r="D2" s="55"/>
      <c r="E2" s="55"/>
      <c r="F2" s="55"/>
      <c r="G2" s="55"/>
      <c r="H2" s="55"/>
      <c r="I2" s="55"/>
      <c r="J2" s="56"/>
      <c r="K2" s="1" t="s">
        <v>2</v>
      </c>
      <c r="L2" s="2">
        <v>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9.75" customHeight="1" outlineLevel="1" x14ac:dyDescent="0.25">
      <c r="A3" s="3"/>
      <c r="B3" s="4"/>
      <c r="C3" s="5"/>
      <c r="D3" s="5"/>
      <c r="E3" s="5"/>
      <c r="F3" s="5"/>
      <c r="G3" s="5"/>
      <c r="H3" s="5"/>
      <c r="I3" s="5"/>
      <c r="J3" s="5"/>
      <c r="K3" s="6"/>
      <c r="L3" s="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outlineLevel="1" x14ac:dyDescent="0.25">
      <c r="A4" s="3"/>
      <c r="B4" s="37" t="s">
        <v>29</v>
      </c>
      <c r="C4" s="9">
        <f ca="1">TODAY()</f>
        <v>45559</v>
      </c>
      <c r="D4" s="3"/>
      <c r="E4" s="5"/>
      <c r="F4" s="5"/>
      <c r="G4" s="5"/>
      <c r="H4" s="3"/>
      <c r="I4" s="3"/>
      <c r="J4" s="48" t="s">
        <v>3</v>
      </c>
      <c r="K4" s="49"/>
      <c r="L4" s="10">
        <f>G82</f>
        <v>0.14492753623188406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outlineLevel="1" x14ac:dyDescent="0.25">
      <c r="A5" s="3"/>
      <c r="B5" s="8" t="s">
        <v>4</v>
      </c>
      <c r="C5" s="9">
        <v>45575</v>
      </c>
      <c r="D5" s="3"/>
      <c r="E5" s="3"/>
      <c r="F5" s="3"/>
      <c r="G5" s="3"/>
      <c r="H5" s="3"/>
      <c r="I5" s="11"/>
      <c r="J5" s="48" t="s">
        <v>5</v>
      </c>
      <c r="K5" s="49"/>
      <c r="L5" s="12">
        <f ca="1">H82</f>
        <v>0.14492753623188406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9.75" customHeight="1" outlineLevel="1" x14ac:dyDescent="0.25">
      <c r="A6" s="3"/>
      <c r="B6" s="3"/>
      <c r="C6" s="3"/>
      <c r="D6" s="3"/>
      <c r="E6" s="3"/>
      <c r="F6" s="3"/>
      <c r="G6" s="3"/>
      <c r="H6" s="3"/>
      <c r="I6" s="1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outlineLevel="1" x14ac:dyDescent="0.25">
      <c r="A7" s="3"/>
      <c r="B7" s="13" t="s">
        <v>6</v>
      </c>
      <c r="C7" s="50" t="s">
        <v>7</v>
      </c>
      <c r="D7" s="40"/>
      <c r="E7" s="3"/>
      <c r="F7" s="3"/>
      <c r="G7" s="3"/>
      <c r="H7" s="3"/>
      <c r="I7" s="3"/>
      <c r="J7" s="3"/>
      <c r="K7" s="3"/>
      <c r="L7" s="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outlineLevel="1" x14ac:dyDescent="0.25">
      <c r="A8" s="3"/>
      <c r="B8" s="14" t="s">
        <v>8</v>
      </c>
      <c r="C8" s="15">
        <v>0.2</v>
      </c>
      <c r="D8" s="15">
        <v>0.5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outlineLevel="1" x14ac:dyDescent="0.25">
      <c r="A9" s="3"/>
      <c r="B9" s="16" t="s">
        <v>9</v>
      </c>
      <c r="C9" s="17" t="s">
        <v>10</v>
      </c>
      <c r="D9" s="18">
        <v>0.5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outlineLevel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8" t="s">
        <v>11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customHeight="1" x14ac:dyDescent="0.25">
      <c r="A12" s="19" t="s">
        <v>12</v>
      </c>
      <c r="B12" s="20" t="s">
        <v>13</v>
      </c>
      <c r="C12" s="20" t="s">
        <v>14</v>
      </c>
      <c r="D12" s="21" t="s">
        <v>15</v>
      </c>
      <c r="E12" s="20" t="s">
        <v>16</v>
      </c>
      <c r="F12" s="20" t="s">
        <v>17</v>
      </c>
      <c r="G12" s="20" t="s">
        <v>18</v>
      </c>
      <c r="H12" s="20" t="s">
        <v>19</v>
      </c>
      <c r="I12" s="20" t="s">
        <v>20</v>
      </c>
      <c r="J12" s="20" t="s">
        <v>21</v>
      </c>
      <c r="K12" s="20" t="s">
        <v>22</v>
      </c>
      <c r="L12" s="20" t="s">
        <v>23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x14ac:dyDescent="0.25">
      <c r="A13" s="23">
        <v>1</v>
      </c>
      <c r="B13" s="41" t="s">
        <v>30</v>
      </c>
      <c r="C13" s="24" t="s">
        <v>24</v>
      </c>
      <c r="D13" s="59" t="s">
        <v>37</v>
      </c>
      <c r="E13" s="25">
        <v>45559</v>
      </c>
      <c r="F13" s="25">
        <v>45559</v>
      </c>
      <c r="G13" s="63">
        <v>1</v>
      </c>
      <c r="H13" s="26">
        <f t="shared" ref="H13:H81" ca="1" si="0">IF($E13=0,"",MROUND(IF(($C$4-E13+1)/(F13-E13+1)&gt;0,IF(($C$4-E13+1)/(F13-E13+1)&lt;1,($C$4-E13+1)/(F13-E13+1),1),0),0.01))</f>
        <v>1</v>
      </c>
      <c r="I13" s="25">
        <v>45559</v>
      </c>
      <c r="J13" s="25">
        <v>45559</v>
      </c>
      <c r="K13" s="64" t="s">
        <v>38</v>
      </c>
      <c r="L13" s="64" t="s">
        <v>39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3">
        <v>2</v>
      </c>
      <c r="B14" s="42"/>
      <c r="C14" s="24" t="s">
        <v>25</v>
      </c>
      <c r="D14" s="59" t="s">
        <v>40</v>
      </c>
      <c r="E14" s="25">
        <v>45559</v>
      </c>
      <c r="F14" s="25">
        <v>45570</v>
      </c>
      <c r="G14" s="65">
        <v>0.35</v>
      </c>
      <c r="H14" s="26">
        <f t="shared" ca="1" si="0"/>
        <v>0.08</v>
      </c>
      <c r="I14" s="25">
        <v>45561</v>
      </c>
      <c r="J14" s="25">
        <v>45575</v>
      </c>
      <c r="K14" s="64" t="s">
        <v>41</v>
      </c>
      <c r="L14" s="64" t="s">
        <v>42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3">
        <v>3</v>
      </c>
      <c r="B15" s="42"/>
      <c r="C15" s="24" t="s">
        <v>26</v>
      </c>
      <c r="D15" s="59" t="s">
        <v>43</v>
      </c>
      <c r="E15" s="25">
        <v>45559</v>
      </c>
      <c r="F15" s="25">
        <v>45570</v>
      </c>
      <c r="G15" s="66">
        <v>0.52</v>
      </c>
      <c r="H15" s="26">
        <f t="shared" ca="1" si="0"/>
        <v>0.08</v>
      </c>
      <c r="I15" s="25">
        <v>45562</v>
      </c>
      <c r="J15" s="25">
        <v>45576</v>
      </c>
      <c r="K15" s="64" t="s">
        <v>41</v>
      </c>
      <c r="L15" s="64" t="s">
        <v>44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3">
        <v>4</v>
      </c>
      <c r="B16" s="42"/>
      <c r="C16" s="24" t="s">
        <v>27</v>
      </c>
      <c r="D16" s="59" t="s">
        <v>45</v>
      </c>
      <c r="E16" s="25">
        <v>45559</v>
      </c>
      <c r="F16" s="25">
        <v>45570</v>
      </c>
      <c r="G16" s="66">
        <v>0.55000000000000004</v>
      </c>
      <c r="H16" s="26">
        <f t="shared" ca="1" si="0"/>
        <v>0.08</v>
      </c>
      <c r="I16" s="25">
        <v>45563</v>
      </c>
      <c r="J16" s="25">
        <v>45577</v>
      </c>
      <c r="K16" s="64" t="s">
        <v>41</v>
      </c>
      <c r="L16" s="64" t="s">
        <v>46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" x14ac:dyDescent="0.25">
      <c r="A17" s="23">
        <v>5</v>
      </c>
      <c r="B17" s="43"/>
      <c r="C17" s="24" t="s">
        <v>28</v>
      </c>
      <c r="D17" s="59" t="s">
        <v>47</v>
      </c>
      <c r="E17" s="25">
        <v>45559</v>
      </c>
      <c r="F17" s="25">
        <v>45574</v>
      </c>
      <c r="G17" s="66">
        <v>0.54</v>
      </c>
      <c r="H17" s="26">
        <f t="shared" ca="1" si="0"/>
        <v>0.06</v>
      </c>
      <c r="I17" s="25">
        <v>45564</v>
      </c>
      <c r="J17" s="25">
        <v>45578</v>
      </c>
      <c r="K17" s="64" t="s">
        <v>41</v>
      </c>
      <c r="L17" s="64" t="s">
        <v>48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3">
        <v>6</v>
      </c>
      <c r="B18" s="60" t="str">
        <f>IF($E18=0,"",MROUND(IF(($C$4-E18+1)/(F18-E18+1)&gt;0,IF(($C$4-E18+1)/(F18-E18+1)&lt;1,($C$4-E18+1)/(F18-E18+1),1),0),0.01))</f>
        <v/>
      </c>
      <c r="C18" s="61"/>
      <c r="D18" s="61"/>
      <c r="E18" s="61"/>
      <c r="F18" s="61"/>
      <c r="G18" s="61"/>
      <c r="H18" s="61"/>
      <c r="I18" s="61"/>
      <c r="J18" s="61"/>
      <c r="K18" s="61"/>
      <c r="L18" s="6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3">
        <v>7</v>
      </c>
      <c r="B19" s="41" t="s">
        <v>31</v>
      </c>
      <c r="C19" s="59" t="s">
        <v>32</v>
      </c>
      <c r="D19" s="59" t="s">
        <v>49</v>
      </c>
      <c r="E19" s="25">
        <v>45559</v>
      </c>
      <c r="F19" s="25">
        <v>45559</v>
      </c>
      <c r="G19" s="63">
        <v>1</v>
      </c>
      <c r="H19" s="26">
        <f t="shared" ca="1" si="0"/>
        <v>1</v>
      </c>
      <c r="I19" s="25">
        <v>45559</v>
      </c>
      <c r="J19" s="25">
        <v>45559</v>
      </c>
      <c r="K19" s="64" t="s">
        <v>54</v>
      </c>
      <c r="L19" s="2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3">
        <v>8</v>
      </c>
      <c r="B20" s="57"/>
      <c r="C20" s="59" t="s">
        <v>33</v>
      </c>
      <c r="D20" s="59" t="s">
        <v>50</v>
      </c>
      <c r="E20" s="25">
        <v>45559</v>
      </c>
      <c r="F20" s="25">
        <v>45559</v>
      </c>
      <c r="G20" s="63">
        <v>1</v>
      </c>
      <c r="H20" s="26">
        <f t="shared" ca="1" si="0"/>
        <v>1</v>
      </c>
      <c r="I20" s="25">
        <v>45559</v>
      </c>
      <c r="J20" s="25">
        <v>45559</v>
      </c>
      <c r="K20" s="64" t="s">
        <v>54</v>
      </c>
      <c r="L20" s="2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23">
        <v>9</v>
      </c>
      <c r="B21" s="57"/>
      <c r="C21" s="59" t="s">
        <v>34</v>
      </c>
      <c r="D21" s="59" t="s">
        <v>51</v>
      </c>
      <c r="E21" s="25">
        <v>45559</v>
      </c>
      <c r="F21" s="25">
        <v>45559</v>
      </c>
      <c r="G21" s="63">
        <v>1</v>
      </c>
      <c r="H21" s="26">
        <f t="shared" ca="1" si="0"/>
        <v>1</v>
      </c>
      <c r="I21" s="25">
        <v>45559</v>
      </c>
      <c r="J21" s="25">
        <v>45559</v>
      </c>
      <c r="K21" s="64" t="s">
        <v>54</v>
      </c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23">
        <v>10</v>
      </c>
      <c r="B22" s="57"/>
      <c r="C22" s="59" t="s">
        <v>35</v>
      </c>
      <c r="D22" s="59" t="s">
        <v>52</v>
      </c>
      <c r="E22" s="25">
        <v>45559</v>
      </c>
      <c r="F22" s="25">
        <v>45559</v>
      </c>
      <c r="G22" s="63">
        <v>1</v>
      </c>
      <c r="H22" s="26">
        <f t="shared" ca="1" si="0"/>
        <v>1</v>
      </c>
      <c r="I22" s="25">
        <v>45559</v>
      </c>
      <c r="J22" s="25">
        <v>45559</v>
      </c>
      <c r="K22" s="64" t="s">
        <v>54</v>
      </c>
      <c r="L22" s="26"/>
      <c r="M22" s="9"/>
      <c r="N22" s="28"/>
      <c r="O22" s="3"/>
      <c r="P22" s="28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23">
        <v>11</v>
      </c>
      <c r="B23" s="58"/>
      <c r="C23" s="59" t="s">
        <v>36</v>
      </c>
      <c r="D23" s="59" t="s">
        <v>53</v>
      </c>
      <c r="E23" s="25">
        <v>45559</v>
      </c>
      <c r="F23" s="25">
        <v>45559</v>
      </c>
      <c r="G23" s="63">
        <v>1</v>
      </c>
      <c r="H23" s="26">
        <f t="shared" ca="1" si="0"/>
        <v>1</v>
      </c>
      <c r="I23" s="25">
        <v>45559</v>
      </c>
      <c r="J23" s="25">
        <v>45559</v>
      </c>
      <c r="K23" s="64" t="s">
        <v>54</v>
      </c>
      <c r="L23" s="26"/>
      <c r="M23" s="9"/>
      <c r="N23" s="28"/>
      <c r="O23" s="3"/>
      <c r="P23" s="28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23">
        <v>12</v>
      </c>
      <c r="B24" s="60" t="str">
        <f>IF($E24=0,"",MROUND(IF(($C$4-E24+1)/(F24-E24+1)&gt;0,IF(($C$4-E24+1)/(F24-E24+1)&lt;1,($C$4-E24+1)/(F24-E24+1),1),0),0.01))</f>
        <v/>
      </c>
      <c r="C24" s="61"/>
      <c r="D24" s="61"/>
      <c r="E24" s="61"/>
      <c r="F24" s="61"/>
      <c r="G24" s="61"/>
      <c r="H24" s="61"/>
      <c r="I24" s="61"/>
      <c r="J24" s="61"/>
      <c r="K24" s="61"/>
      <c r="L24" s="62"/>
      <c r="M24" s="9"/>
      <c r="N24" s="28"/>
      <c r="O24" s="3"/>
      <c r="P24" s="28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23">
        <v>13</v>
      </c>
      <c r="B25" s="27"/>
      <c r="C25" s="24"/>
      <c r="D25" s="24"/>
      <c r="E25" s="25"/>
      <c r="F25" s="25"/>
      <c r="G25" s="26"/>
      <c r="H25" s="26" t="str">
        <f t="shared" si="0"/>
        <v/>
      </c>
      <c r="I25" s="25"/>
      <c r="J25" s="25"/>
      <c r="K25" s="26" t="str">
        <f t="shared" ref="K13:K81" si="1">IF(G25=0,"",IF(G25&gt;=H25,$B$7,IF(AND(H25-G25&gt;=$C$8,H25-G25&lt;=$D$8),$B$8,IF(H25-G25&gt;$D$9,$B$9,""))))</f>
        <v/>
      </c>
      <c r="L25" s="26"/>
      <c r="M25" s="9"/>
      <c r="N25" s="28"/>
      <c r="O25" s="3"/>
      <c r="P25" s="28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23">
        <v>14</v>
      </c>
      <c r="B26" s="27"/>
      <c r="C26" s="24"/>
      <c r="D26" s="24"/>
      <c r="E26" s="25"/>
      <c r="F26" s="25"/>
      <c r="G26" s="26"/>
      <c r="H26" s="26" t="str">
        <f t="shared" si="0"/>
        <v/>
      </c>
      <c r="I26" s="25"/>
      <c r="J26" s="25"/>
      <c r="K26" s="26" t="str">
        <f t="shared" si="1"/>
        <v/>
      </c>
      <c r="L26" s="26"/>
      <c r="M26" s="9"/>
      <c r="N26" s="28"/>
      <c r="O26" s="3"/>
      <c r="P26" s="28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23">
        <v>15</v>
      </c>
      <c r="B27" s="27"/>
      <c r="C27" s="24"/>
      <c r="D27" s="24"/>
      <c r="E27" s="25"/>
      <c r="F27" s="25"/>
      <c r="G27" s="26"/>
      <c r="H27" s="26" t="str">
        <f t="shared" si="0"/>
        <v/>
      </c>
      <c r="I27" s="25"/>
      <c r="J27" s="25"/>
      <c r="K27" s="26" t="str">
        <f t="shared" si="1"/>
        <v/>
      </c>
      <c r="L27" s="26"/>
      <c r="M27" s="9"/>
      <c r="N27" s="28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23">
        <v>16</v>
      </c>
      <c r="B28" s="27"/>
      <c r="C28" s="24"/>
      <c r="D28" s="24"/>
      <c r="E28" s="25"/>
      <c r="F28" s="25"/>
      <c r="G28" s="26"/>
      <c r="H28" s="26" t="str">
        <f t="shared" si="0"/>
        <v/>
      </c>
      <c r="I28" s="25"/>
      <c r="J28" s="25"/>
      <c r="K28" s="26" t="str">
        <f t="shared" si="1"/>
        <v/>
      </c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23">
        <v>17</v>
      </c>
      <c r="B29" s="27"/>
      <c r="C29" s="24"/>
      <c r="D29" s="24"/>
      <c r="E29" s="25"/>
      <c r="F29" s="25"/>
      <c r="G29" s="26"/>
      <c r="H29" s="26" t="str">
        <f t="shared" si="0"/>
        <v/>
      </c>
      <c r="I29" s="25"/>
      <c r="J29" s="25"/>
      <c r="K29" s="26" t="str">
        <f t="shared" si="1"/>
        <v/>
      </c>
      <c r="L29" s="2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23">
        <v>18</v>
      </c>
      <c r="B30" s="27"/>
      <c r="C30" s="24"/>
      <c r="D30" s="24"/>
      <c r="E30" s="25"/>
      <c r="F30" s="25"/>
      <c r="G30" s="26"/>
      <c r="H30" s="26" t="str">
        <f t="shared" si="0"/>
        <v/>
      </c>
      <c r="I30" s="25"/>
      <c r="J30" s="25"/>
      <c r="K30" s="26" t="str">
        <f t="shared" si="1"/>
        <v/>
      </c>
      <c r="L30" s="2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23">
        <v>19</v>
      </c>
      <c r="B31" s="27"/>
      <c r="C31" s="24"/>
      <c r="D31" s="24"/>
      <c r="E31" s="25"/>
      <c r="F31" s="25"/>
      <c r="G31" s="26"/>
      <c r="H31" s="26" t="str">
        <f t="shared" si="0"/>
        <v/>
      </c>
      <c r="I31" s="25"/>
      <c r="J31" s="25"/>
      <c r="K31" s="26" t="str">
        <f t="shared" si="1"/>
        <v/>
      </c>
      <c r="L31" s="2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23">
        <v>20</v>
      </c>
      <c r="B32" s="27"/>
      <c r="C32" s="24"/>
      <c r="D32" s="24"/>
      <c r="E32" s="25"/>
      <c r="F32" s="25"/>
      <c r="G32" s="26"/>
      <c r="H32" s="26" t="str">
        <f t="shared" si="0"/>
        <v/>
      </c>
      <c r="I32" s="25"/>
      <c r="J32" s="25"/>
      <c r="K32" s="26" t="str">
        <f t="shared" si="1"/>
        <v/>
      </c>
      <c r="L32" s="2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23">
        <v>21</v>
      </c>
      <c r="B33" s="27"/>
      <c r="C33" s="24"/>
      <c r="D33" s="24"/>
      <c r="E33" s="25"/>
      <c r="F33" s="25"/>
      <c r="G33" s="26"/>
      <c r="H33" s="26" t="str">
        <f t="shared" si="0"/>
        <v/>
      </c>
      <c r="I33" s="25"/>
      <c r="J33" s="25"/>
      <c r="K33" s="26" t="str">
        <f t="shared" si="1"/>
        <v/>
      </c>
      <c r="L33" s="2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23">
        <v>22</v>
      </c>
      <c r="B34" s="27"/>
      <c r="C34" s="24"/>
      <c r="D34" s="24"/>
      <c r="E34" s="25"/>
      <c r="F34" s="25"/>
      <c r="G34" s="26"/>
      <c r="H34" s="26" t="str">
        <f t="shared" si="0"/>
        <v/>
      </c>
      <c r="I34" s="25"/>
      <c r="J34" s="25"/>
      <c r="K34" s="26" t="str">
        <f t="shared" si="1"/>
        <v/>
      </c>
      <c r="L34" s="2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23">
        <v>23</v>
      </c>
      <c r="B35" s="27"/>
      <c r="C35" s="24"/>
      <c r="D35" s="24"/>
      <c r="E35" s="25"/>
      <c r="F35" s="25"/>
      <c r="G35" s="26"/>
      <c r="H35" s="26" t="str">
        <f t="shared" si="0"/>
        <v/>
      </c>
      <c r="I35" s="25"/>
      <c r="J35" s="25"/>
      <c r="K35" s="26" t="str">
        <f t="shared" si="1"/>
        <v/>
      </c>
      <c r="L35" s="2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23">
        <v>24</v>
      </c>
      <c r="B36" s="27"/>
      <c r="C36" s="24"/>
      <c r="D36" s="24"/>
      <c r="E36" s="25"/>
      <c r="F36" s="25"/>
      <c r="G36" s="26"/>
      <c r="H36" s="26" t="str">
        <f t="shared" si="0"/>
        <v/>
      </c>
      <c r="I36" s="25"/>
      <c r="J36" s="25"/>
      <c r="K36" s="26" t="str">
        <f t="shared" si="1"/>
        <v/>
      </c>
      <c r="L36" s="2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23">
        <v>25</v>
      </c>
      <c r="B37" s="27"/>
      <c r="C37" s="29"/>
      <c r="D37" s="24"/>
      <c r="E37" s="25"/>
      <c r="F37" s="25"/>
      <c r="G37" s="26"/>
      <c r="H37" s="26" t="str">
        <f t="shared" si="0"/>
        <v/>
      </c>
      <c r="I37" s="25"/>
      <c r="J37" s="25"/>
      <c r="K37" s="26" t="str">
        <f t="shared" si="1"/>
        <v/>
      </c>
      <c r="L37" s="2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23">
        <v>26</v>
      </c>
      <c r="B38" s="27"/>
      <c r="C38" s="24"/>
      <c r="D38" s="24"/>
      <c r="E38" s="25"/>
      <c r="F38" s="25"/>
      <c r="G38" s="26"/>
      <c r="H38" s="26" t="str">
        <f t="shared" si="0"/>
        <v/>
      </c>
      <c r="I38" s="25"/>
      <c r="J38" s="25"/>
      <c r="K38" s="26" t="str">
        <f t="shared" si="1"/>
        <v/>
      </c>
      <c r="L38" s="2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23">
        <v>27</v>
      </c>
      <c r="B39" s="27"/>
      <c r="C39" s="24"/>
      <c r="D39" s="24"/>
      <c r="E39" s="25"/>
      <c r="F39" s="25"/>
      <c r="G39" s="26"/>
      <c r="H39" s="26" t="str">
        <f t="shared" si="0"/>
        <v/>
      </c>
      <c r="I39" s="25"/>
      <c r="J39" s="25"/>
      <c r="K39" s="26" t="str">
        <f t="shared" si="1"/>
        <v/>
      </c>
      <c r="L39" s="2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customHeight="1" x14ac:dyDescent="0.25">
      <c r="A40" s="23">
        <v>28</v>
      </c>
      <c r="B40" s="27"/>
      <c r="C40" s="24"/>
      <c r="D40" s="24"/>
      <c r="E40" s="25"/>
      <c r="F40" s="25"/>
      <c r="G40" s="26"/>
      <c r="H40" s="26" t="str">
        <f t="shared" si="0"/>
        <v/>
      </c>
      <c r="I40" s="25"/>
      <c r="J40" s="25"/>
      <c r="K40" s="26" t="str">
        <f t="shared" si="1"/>
        <v/>
      </c>
      <c r="L40" s="2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23">
        <v>29</v>
      </c>
      <c r="B41" s="27"/>
      <c r="C41" s="24"/>
      <c r="D41" s="24"/>
      <c r="E41" s="25"/>
      <c r="F41" s="25"/>
      <c r="G41" s="26"/>
      <c r="H41" s="26" t="str">
        <f t="shared" si="0"/>
        <v/>
      </c>
      <c r="I41" s="25"/>
      <c r="J41" s="25"/>
      <c r="K41" s="26" t="str">
        <f t="shared" si="1"/>
        <v/>
      </c>
      <c r="L41" s="2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23">
        <v>30</v>
      </c>
      <c r="B42" s="27"/>
      <c r="C42" s="24"/>
      <c r="D42" s="24"/>
      <c r="E42" s="25"/>
      <c r="F42" s="25"/>
      <c r="G42" s="26"/>
      <c r="H42" s="26" t="str">
        <f t="shared" si="0"/>
        <v/>
      </c>
      <c r="I42" s="25"/>
      <c r="J42" s="25"/>
      <c r="K42" s="26" t="str">
        <f t="shared" si="1"/>
        <v/>
      </c>
      <c r="L42" s="2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23">
        <v>31</v>
      </c>
      <c r="B43" s="27"/>
      <c r="C43" s="24"/>
      <c r="D43" s="24"/>
      <c r="E43" s="25"/>
      <c r="F43" s="25"/>
      <c r="G43" s="26"/>
      <c r="H43" s="26" t="str">
        <f t="shared" si="0"/>
        <v/>
      </c>
      <c r="I43" s="25"/>
      <c r="J43" s="25"/>
      <c r="K43" s="26" t="str">
        <f t="shared" si="1"/>
        <v/>
      </c>
      <c r="L43" s="2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23">
        <v>32</v>
      </c>
      <c r="B44" s="27"/>
      <c r="C44" s="24"/>
      <c r="D44" s="24"/>
      <c r="E44" s="25"/>
      <c r="F44" s="25"/>
      <c r="G44" s="26"/>
      <c r="H44" s="26" t="str">
        <f t="shared" si="0"/>
        <v/>
      </c>
      <c r="I44" s="25"/>
      <c r="J44" s="25"/>
      <c r="K44" s="26" t="str">
        <f t="shared" si="1"/>
        <v/>
      </c>
      <c r="L44" s="2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23">
        <v>33</v>
      </c>
      <c r="B45" s="27"/>
      <c r="C45" s="24"/>
      <c r="D45" s="24"/>
      <c r="E45" s="25"/>
      <c r="F45" s="25"/>
      <c r="G45" s="26"/>
      <c r="H45" s="26" t="str">
        <f t="shared" si="0"/>
        <v/>
      </c>
      <c r="I45" s="25"/>
      <c r="J45" s="25"/>
      <c r="K45" s="26" t="str">
        <f t="shared" si="1"/>
        <v/>
      </c>
      <c r="L45" s="2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23">
        <v>34</v>
      </c>
      <c r="B46" s="27"/>
      <c r="C46" s="24"/>
      <c r="D46" s="24"/>
      <c r="E46" s="25"/>
      <c r="F46" s="25"/>
      <c r="G46" s="26"/>
      <c r="H46" s="26" t="str">
        <f t="shared" si="0"/>
        <v/>
      </c>
      <c r="I46" s="25"/>
      <c r="J46" s="25"/>
      <c r="K46" s="26" t="str">
        <f t="shared" si="1"/>
        <v/>
      </c>
      <c r="L46" s="2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23">
        <v>35</v>
      </c>
      <c r="B47" s="27"/>
      <c r="C47" s="24"/>
      <c r="D47" s="24"/>
      <c r="E47" s="25"/>
      <c r="F47" s="25"/>
      <c r="G47" s="26"/>
      <c r="H47" s="26" t="str">
        <f t="shared" si="0"/>
        <v/>
      </c>
      <c r="I47" s="25"/>
      <c r="J47" s="25"/>
      <c r="K47" s="26" t="str">
        <f t="shared" si="1"/>
        <v/>
      </c>
      <c r="L47" s="2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23">
        <v>36</v>
      </c>
      <c r="B48" s="27"/>
      <c r="C48" s="24"/>
      <c r="D48" s="24"/>
      <c r="E48" s="25"/>
      <c r="F48" s="25"/>
      <c r="G48" s="26"/>
      <c r="H48" s="26" t="str">
        <f t="shared" si="0"/>
        <v/>
      </c>
      <c r="I48" s="25"/>
      <c r="J48" s="25"/>
      <c r="K48" s="26" t="str">
        <f t="shared" si="1"/>
        <v/>
      </c>
      <c r="L48" s="2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23">
        <v>37</v>
      </c>
      <c r="B49" s="27"/>
      <c r="C49" s="24"/>
      <c r="D49" s="24"/>
      <c r="E49" s="25"/>
      <c r="F49" s="25"/>
      <c r="G49" s="26"/>
      <c r="H49" s="26" t="str">
        <f t="shared" si="0"/>
        <v/>
      </c>
      <c r="I49" s="25"/>
      <c r="J49" s="25"/>
      <c r="K49" s="26" t="str">
        <f t="shared" si="1"/>
        <v/>
      </c>
      <c r="L49" s="2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23">
        <v>38</v>
      </c>
      <c r="B50" s="27"/>
      <c r="C50" s="24"/>
      <c r="D50" s="24"/>
      <c r="E50" s="25"/>
      <c r="F50" s="25"/>
      <c r="G50" s="26"/>
      <c r="H50" s="26" t="str">
        <f t="shared" si="0"/>
        <v/>
      </c>
      <c r="I50" s="25"/>
      <c r="J50" s="25"/>
      <c r="K50" s="26" t="str">
        <f t="shared" si="1"/>
        <v/>
      </c>
      <c r="L50" s="2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23">
        <v>39</v>
      </c>
      <c r="B51" s="27"/>
      <c r="C51" s="24"/>
      <c r="D51" s="24"/>
      <c r="E51" s="25"/>
      <c r="F51" s="25"/>
      <c r="G51" s="26"/>
      <c r="H51" s="26" t="str">
        <f t="shared" si="0"/>
        <v/>
      </c>
      <c r="I51" s="25"/>
      <c r="J51" s="25"/>
      <c r="K51" s="26" t="str">
        <f t="shared" si="1"/>
        <v/>
      </c>
      <c r="L51" s="2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23">
        <v>40</v>
      </c>
      <c r="B52" s="27"/>
      <c r="C52" s="24"/>
      <c r="D52" s="24"/>
      <c r="E52" s="25"/>
      <c r="F52" s="25"/>
      <c r="G52" s="26"/>
      <c r="H52" s="26" t="str">
        <f t="shared" si="0"/>
        <v/>
      </c>
      <c r="I52" s="25"/>
      <c r="J52" s="25"/>
      <c r="K52" s="26" t="str">
        <f t="shared" si="1"/>
        <v/>
      </c>
      <c r="L52" s="2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23">
        <v>41</v>
      </c>
      <c r="B53" s="27"/>
      <c r="C53" s="24"/>
      <c r="D53" s="24"/>
      <c r="E53" s="25"/>
      <c r="F53" s="25"/>
      <c r="G53" s="26"/>
      <c r="H53" s="26" t="str">
        <f t="shared" si="0"/>
        <v/>
      </c>
      <c r="I53" s="25"/>
      <c r="J53" s="25"/>
      <c r="K53" s="26" t="str">
        <f t="shared" si="1"/>
        <v/>
      </c>
      <c r="L53" s="2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23">
        <v>42</v>
      </c>
      <c r="B54" s="27"/>
      <c r="C54" s="24"/>
      <c r="D54" s="24"/>
      <c r="E54" s="25"/>
      <c r="F54" s="25"/>
      <c r="G54" s="26"/>
      <c r="H54" s="26" t="str">
        <f t="shared" si="0"/>
        <v/>
      </c>
      <c r="I54" s="25"/>
      <c r="J54" s="25"/>
      <c r="K54" s="26" t="str">
        <f t="shared" si="1"/>
        <v/>
      </c>
      <c r="L54" s="2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23">
        <v>43</v>
      </c>
      <c r="B55" s="27"/>
      <c r="C55" s="24"/>
      <c r="D55" s="24"/>
      <c r="E55" s="25"/>
      <c r="F55" s="25"/>
      <c r="G55" s="26"/>
      <c r="H55" s="26" t="str">
        <f t="shared" si="0"/>
        <v/>
      </c>
      <c r="I55" s="25"/>
      <c r="J55" s="25"/>
      <c r="K55" s="26" t="str">
        <f t="shared" si="1"/>
        <v/>
      </c>
      <c r="L55" s="2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23">
        <v>44</v>
      </c>
      <c r="B56" s="27"/>
      <c r="C56" s="24"/>
      <c r="D56" s="24"/>
      <c r="E56" s="25"/>
      <c r="F56" s="25"/>
      <c r="G56" s="26"/>
      <c r="H56" s="26" t="str">
        <f t="shared" si="0"/>
        <v/>
      </c>
      <c r="I56" s="25"/>
      <c r="J56" s="25"/>
      <c r="K56" s="26" t="str">
        <f t="shared" si="1"/>
        <v/>
      </c>
      <c r="L56" s="2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23">
        <v>45</v>
      </c>
      <c r="B57" s="27"/>
      <c r="C57" s="24"/>
      <c r="D57" s="24"/>
      <c r="E57" s="25"/>
      <c r="F57" s="25"/>
      <c r="G57" s="24"/>
      <c r="H57" s="26" t="str">
        <f t="shared" si="0"/>
        <v/>
      </c>
      <c r="I57" s="25"/>
      <c r="J57" s="25"/>
      <c r="K57" s="26" t="str">
        <f t="shared" si="1"/>
        <v/>
      </c>
      <c r="L57" s="24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23">
        <v>46</v>
      </c>
      <c r="B58" s="27"/>
      <c r="C58" s="24"/>
      <c r="D58" s="24"/>
      <c r="E58" s="25"/>
      <c r="F58" s="25"/>
      <c r="G58" s="24"/>
      <c r="H58" s="26" t="str">
        <f t="shared" si="0"/>
        <v/>
      </c>
      <c r="I58" s="25"/>
      <c r="J58" s="25"/>
      <c r="K58" s="26" t="str">
        <f t="shared" si="1"/>
        <v/>
      </c>
      <c r="L58" s="2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23">
        <v>47</v>
      </c>
      <c r="B59" s="27"/>
      <c r="C59" s="24"/>
      <c r="D59" s="24"/>
      <c r="E59" s="25"/>
      <c r="F59" s="25"/>
      <c r="G59" s="26"/>
      <c r="H59" s="26" t="str">
        <f t="shared" si="0"/>
        <v/>
      </c>
      <c r="I59" s="25"/>
      <c r="J59" s="25"/>
      <c r="K59" s="26" t="str">
        <f t="shared" si="1"/>
        <v/>
      </c>
      <c r="L59" s="2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23">
        <v>48</v>
      </c>
      <c r="B60" s="27"/>
      <c r="C60" s="24"/>
      <c r="D60" s="24"/>
      <c r="E60" s="25"/>
      <c r="F60" s="25"/>
      <c r="G60" s="26"/>
      <c r="H60" s="26" t="str">
        <f t="shared" si="0"/>
        <v/>
      </c>
      <c r="I60" s="25"/>
      <c r="J60" s="25"/>
      <c r="K60" s="26" t="str">
        <f t="shared" si="1"/>
        <v/>
      </c>
      <c r="L60" s="2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23">
        <v>49</v>
      </c>
      <c r="B61" s="27"/>
      <c r="C61" s="24"/>
      <c r="D61" s="24"/>
      <c r="E61" s="25"/>
      <c r="F61" s="25"/>
      <c r="G61" s="26"/>
      <c r="H61" s="26" t="str">
        <f t="shared" si="0"/>
        <v/>
      </c>
      <c r="I61" s="25"/>
      <c r="J61" s="25"/>
      <c r="K61" s="26" t="str">
        <f t="shared" si="1"/>
        <v/>
      </c>
      <c r="L61" s="2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23">
        <v>50</v>
      </c>
      <c r="B62" s="27"/>
      <c r="C62" s="24"/>
      <c r="D62" s="24"/>
      <c r="E62" s="25"/>
      <c r="F62" s="25"/>
      <c r="G62" s="26"/>
      <c r="H62" s="26" t="str">
        <f t="shared" si="0"/>
        <v/>
      </c>
      <c r="I62" s="25"/>
      <c r="J62" s="25"/>
      <c r="K62" s="26" t="str">
        <f t="shared" si="1"/>
        <v/>
      </c>
      <c r="L62" s="2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23">
        <v>51</v>
      </c>
      <c r="B63" s="27"/>
      <c r="C63" s="24"/>
      <c r="D63" s="24"/>
      <c r="E63" s="25"/>
      <c r="F63" s="25"/>
      <c r="G63" s="26"/>
      <c r="H63" s="26" t="str">
        <f t="shared" si="0"/>
        <v/>
      </c>
      <c r="I63" s="25"/>
      <c r="J63" s="25"/>
      <c r="K63" s="26" t="str">
        <f t="shared" si="1"/>
        <v/>
      </c>
      <c r="L63" s="2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23">
        <v>52</v>
      </c>
      <c r="B64" s="27"/>
      <c r="C64" s="24"/>
      <c r="D64" s="24"/>
      <c r="E64" s="25"/>
      <c r="F64" s="25"/>
      <c r="G64" s="26"/>
      <c r="H64" s="26" t="str">
        <f t="shared" si="0"/>
        <v/>
      </c>
      <c r="I64" s="25"/>
      <c r="J64" s="25"/>
      <c r="K64" s="26" t="str">
        <f t="shared" si="1"/>
        <v/>
      </c>
      <c r="L64" s="2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23">
        <v>53</v>
      </c>
      <c r="B65" s="27"/>
      <c r="C65" s="24"/>
      <c r="D65" s="24"/>
      <c r="E65" s="25"/>
      <c r="F65" s="25"/>
      <c r="G65" s="26"/>
      <c r="H65" s="26" t="str">
        <f t="shared" si="0"/>
        <v/>
      </c>
      <c r="I65" s="25"/>
      <c r="J65" s="25"/>
      <c r="K65" s="26" t="str">
        <f t="shared" si="1"/>
        <v/>
      </c>
      <c r="L65" s="2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23">
        <v>54</v>
      </c>
      <c r="B66" s="27"/>
      <c r="C66" s="24"/>
      <c r="D66" s="24"/>
      <c r="E66" s="30"/>
      <c r="F66" s="25"/>
      <c r="G66" s="26"/>
      <c r="H66" s="26" t="str">
        <f t="shared" si="0"/>
        <v/>
      </c>
      <c r="I66" s="25"/>
      <c r="J66" s="25"/>
      <c r="K66" s="26" t="str">
        <f t="shared" si="1"/>
        <v/>
      </c>
      <c r="L66" s="2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23">
        <v>55</v>
      </c>
      <c r="B67" s="27"/>
      <c r="C67" s="24"/>
      <c r="D67" s="24"/>
      <c r="E67" s="25"/>
      <c r="F67" s="25"/>
      <c r="G67" s="26"/>
      <c r="H67" s="26" t="str">
        <f t="shared" si="0"/>
        <v/>
      </c>
      <c r="I67" s="25"/>
      <c r="J67" s="25"/>
      <c r="K67" s="26" t="str">
        <f t="shared" si="1"/>
        <v/>
      </c>
      <c r="L67" s="2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23">
        <v>56</v>
      </c>
      <c r="B68" s="27"/>
      <c r="C68" s="24"/>
      <c r="D68" s="24"/>
      <c r="E68" s="25"/>
      <c r="F68" s="25"/>
      <c r="G68" s="26"/>
      <c r="H68" s="26" t="str">
        <f t="shared" si="0"/>
        <v/>
      </c>
      <c r="I68" s="25"/>
      <c r="J68" s="25"/>
      <c r="K68" s="26" t="str">
        <f t="shared" si="1"/>
        <v/>
      </c>
      <c r="L68" s="2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23">
        <v>57</v>
      </c>
      <c r="B69" s="27"/>
      <c r="C69" s="24"/>
      <c r="D69" s="24"/>
      <c r="E69" s="25"/>
      <c r="F69" s="25"/>
      <c r="G69" s="26"/>
      <c r="H69" s="26" t="str">
        <f t="shared" si="0"/>
        <v/>
      </c>
      <c r="I69" s="25"/>
      <c r="J69" s="25"/>
      <c r="K69" s="26" t="str">
        <f t="shared" si="1"/>
        <v/>
      </c>
      <c r="L69" s="2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23">
        <v>58</v>
      </c>
      <c r="B70" s="27"/>
      <c r="C70" s="24"/>
      <c r="D70" s="24"/>
      <c r="E70" s="25"/>
      <c r="F70" s="25"/>
      <c r="G70" s="26"/>
      <c r="H70" s="26" t="str">
        <f t="shared" si="0"/>
        <v/>
      </c>
      <c r="I70" s="25"/>
      <c r="J70" s="25"/>
      <c r="K70" s="26" t="str">
        <f t="shared" si="1"/>
        <v/>
      </c>
      <c r="L70" s="2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23">
        <v>59</v>
      </c>
      <c r="B71" s="27"/>
      <c r="C71" s="24"/>
      <c r="D71" s="24"/>
      <c r="E71" s="25"/>
      <c r="F71" s="25"/>
      <c r="G71" s="26"/>
      <c r="H71" s="26" t="str">
        <f t="shared" si="0"/>
        <v/>
      </c>
      <c r="I71" s="25"/>
      <c r="J71" s="25"/>
      <c r="K71" s="26" t="str">
        <f t="shared" si="1"/>
        <v/>
      </c>
      <c r="L71" s="2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23">
        <v>60</v>
      </c>
      <c r="B72" s="27"/>
      <c r="C72" s="24"/>
      <c r="D72" s="24"/>
      <c r="E72" s="25"/>
      <c r="F72" s="25"/>
      <c r="G72" s="26"/>
      <c r="H72" s="26" t="str">
        <f t="shared" si="0"/>
        <v/>
      </c>
      <c r="I72" s="25"/>
      <c r="J72" s="25"/>
      <c r="K72" s="26" t="str">
        <f t="shared" si="1"/>
        <v/>
      </c>
      <c r="L72" s="2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23">
        <v>61</v>
      </c>
      <c r="B73" s="27"/>
      <c r="C73" s="24"/>
      <c r="D73" s="24"/>
      <c r="E73" s="25"/>
      <c r="F73" s="25"/>
      <c r="G73" s="24"/>
      <c r="H73" s="26" t="str">
        <f t="shared" si="0"/>
        <v/>
      </c>
      <c r="I73" s="25"/>
      <c r="J73" s="25"/>
      <c r="K73" s="26" t="str">
        <f t="shared" si="1"/>
        <v/>
      </c>
      <c r="L73" s="2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23">
        <v>62</v>
      </c>
      <c r="B74" s="27"/>
      <c r="C74" s="24"/>
      <c r="D74" s="24"/>
      <c r="E74" s="25"/>
      <c r="F74" s="25"/>
      <c r="G74" s="24"/>
      <c r="H74" s="26" t="str">
        <f t="shared" si="0"/>
        <v/>
      </c>
      <c r="I74" s="25"/>
      <c r="J74" s="25"/>
      <c r="K74" s="26" t="str">
        <f t="shared" si="1"/>
        <v/>
      </c>
      <c r="L74" s="2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23">
        <v>63</v>
      </c>
      <c r="B75" s="27"/>
      <c r="C75" s="24"/>
      <c r="D75" s="24"/>
      <c r="E75" s="25"/>
      <c r="F75" s="25"/>
      <c r="G75" s="24"/>
      <c r="H75" s="26" t="str">
        <f t="shared" si="0"/>
        <v/>
      </c>
      <c r="I75" s="25"/>
      <c r="J75" s="25"/>
      <c r="K75" s="26" t="str">
        <f t="shared" si="1"/>
        <v/>
      </c>
      <c r="L75" s="2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3">
        <v>64</v>
      </c>
      <c r="B76" s="27"/>
      <c r="C76" s="24"/>
      <c r="D76" s="24"/>
      <c r="E76" s="25"/>
      <c r="F76" s="25"/>
      <c r="G76" s="24"/>
      <c r="H76" s="26" t="str">
        <f t="shared" si="0"/>
        <v/>
      </c>
      <c r="I76" s="25"/>
      <c r="J76" s="25"/>
      <c r="K76" s="26" t="str">
        <f t="shared" si="1"/>
        <v/>
      </c>
      <c r="L76" s="2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23">
        <v>65</v>
      </c>
      <c r="B77" s="27"/>
      <c r="C77" s="24"/>
      <c r="D77" s="24"/>
      <c r="E77" s="25"/>
      <c r="F77" s="25"/>
      <c r="G77" s="24"/>
      <c r="H77" s="26" t="str">
        <f t="shared" si="0"/>
        <v/>
      </c>
      <c r="I77" s="25"/>
      <c r="J77" s="25"/>
      <c r="K77" s="26" t="str">
        <f t="shared" si="1"/>
        <v/>
      </c>
      <c r="L77" s="2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23">
        <v>66</v>
      </c>
      <c r="B78" s="27"/>
      <c r="C78" s="24"/>
      <c r="D78" s="24"/>
      <c r="E78" s="24"/>
      <c r="F78" s="24"/>
      <c r="G78" s="24"/>
      <c r="H78" s="26" t="str">
        <f t="shared" si="0"/>
        <v/>
      </c>
      <c r="I78" s="25"/>
      <c r="J78" s="25"/>
      <c r="K78" s="26" t="str">
        <f t="shared" si="1"/>
        <v/>
      </c>
      <c r="L78" s="2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23">
        <v>67</v>
      </c>
      <c r="B79" s="27"/>
      <c r="C79" s="24"/>
      <c r="D79" s="24"/>
      <c r="E79" s="24"/>
      <c r="F79" s="24"/>
      <c r="G79" s="24"/>
      <c r="H79" s="26" t="str">
        <f t="shared" si="0"/>
        <v/>
      </c>
      <c r="I79" s="25"/>
      <c r="J79" s="25"/>
      <c r="K79" s="26" t="str">
        <f t="shared" si="1"/>
        <v/>
      </c>
      <c r="L79" s="2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23">
        <v>68</v>
      </c>
      <c r="B80" s="27"/>
      <c r="C80" s="24"/>
      <c r="D80" s="24"/>
      <c r="E80" s="24"/>
      <c r="F80" s="24"/>
      <c r="G80" s="24"/>
      <c r="H80" s="26" t="str">
        <f t="shared" si="0"/>
        <v/>
      </c>
      <c r="I80" s="25"/>
      <c r="J80" s="25"/>
      <c r="K80" s="26" t="str">
        <f t="shared" si="1"/>
        <v/>
      </c>
      <c r="L80" s="2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23">
        <v>69</v>
      </c>
      <c r="B81" s="27"/>
      <c r="C81" s="24"/>
      <c r="D81" s="24"/>
      <c r="E81" s="24"/>
      <c r="F81" s="24"/>
      <c r="G81" s="24"/>
      <c r="H81" s="26" t="str">
        <f t="shared" si="0"/>
        <v/>
      </c>
      <c r="I81" s="25"/>
      <c r="J81" s="25"/>
      <c r="K81" s="26" t="str">
        <f t="shared" si="1"/>
        <v/>
      </c>
      <c r="L81" s="2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1"/>
      <c r="B82" s="32"/>
      <c r="C82" s="33"/>
      <c r="D82" s="33"/>
      <c r="E82" s="33"/>
      <c r="F82" s="33"/>
      <c r="G82" s="34">
        <f>(COUNTA(G13:G81))*(100%/(COUNTA($A$13:$A$81)))</f>
        <v>0.14492753623188406</v>
      </c>
      <c r="H82" s="34">
        <f ca="1">(COUNTIF(H13:H81,"&gt;0"))*(100%/COUNTA(A13:A81))</f>
        <v>0.14492753623188406</v>
      </c>
      <c r="I82" s="34"/>
      <c r="J82" s="33"/>
      <c r="K82" s="33"/>
      <c r="L82" s="35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28"/>
      <c r="J83" s="36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B19:B23"/>
    <mergeCell ref="B18:L18"/>
    <mergeCell ref="B24:L24"/>
    <mergeCell ref="A11:L11"/>
    <mergeCell ref="B13:B17"/>
    <mergeCell ref="A1:B2"/>
    <mergeCell ref="J4:K4"/>
    <mergeCell ref="J5:K5"/>
    <mergeCell ref="C7:D7"/>
  </mergeCells>
  <phoneticPr fontId="14" type="noConversion"/>
  <conditionalFormatting sqref="K25:K81 K13:K17 K19:K23">
    <cfRule type="cellIs" dxfId="0" priority="1" operator="equal">
      <formula>$B$9</formula>
    </cfRule>
  </conditionalFormatting>
  <pageMargins left="0.7" right="0.7" top="0.75" bottom="0.75" header="0" footer="0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Fernando Betancourt Quintero</dc:creator>
  <cp:lastModifiedBy>Hernan Dario Medina Nuñez</cp:lastModifiedBy>
  <dcterms:created xsi:type="dcterms:W3CDTF">2015-09-23T20:13:45Z</dcterms:created>
  <dcterms:modified xsi:type="dcterms:W3CDTF">2024-09-24T17:43:31Z</dcterms:modified>
</cp:coreProperties>
</file>